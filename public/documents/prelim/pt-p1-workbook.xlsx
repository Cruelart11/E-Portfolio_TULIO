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1" documentId="11_D8DC331BC61F70A81782D87983662D993CEC376C" xr6:coauthVersionLast="47" xr6:coauthVersionMax="47" xr10:uidLastSave="{7E811C76-E9BF-4F79-BB67-F9D4AD3C547F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2" i="1" l="1"/>
  <c r="M52" i="1"/>
  <c r="L52" i="1"/>
  <c r="N51" i="1"/>
  <c r="N53" i="1" s="1"/>
  <c r="M51" i="1"/>
  <c r="M53" i="1" s="1"/>
  <c r="L51" i="1"/>
  <c r="L53" i="1" s="1"/>
  <c r="N50" i="1"/>
  <c r="M50" i="1"/>
  <c r="L50" i="1"/>
  <c r="N41" i="1"/>
  <c r="M41" i="1"/>
  <c r="L41" i="1"/>
  <c r="N40" i="1"/>
  <c r="N42" i="1" s="1"/>
  <c r="M40" i="1"/>
  <c r="M42" i="1" s="1"/>
  <c r="L40" i="1"/>
  <c r="L42" i="1" s="1"/>
  <c r="N39" i="1"/>
  <c r="M39" i="1"/>
  <c r="L39" i="1"/>
</calcChain>
</file>

<file path=xl/sharedStrings.xml><?xml version="1.0" encoding="utf-8"?>
<sst xmlns="http://schemas.openxmlformats.org/spreadsheetml/2006/main" count="432" uniqueCount="193">
  <si>
    <t>10 Examples</t>
  </si>
  <si>
    <t>Test_Case (10 Examples)</t>
  </si>
  <si>
    <t>Expected</t>
  </si>
  <si>
    <t>Output</t>
  </si>
  <si>
    <t>Test_Case (20 Examples)</t>
  </si>
  <si>
    <t>A1</t>
  </si>
  <si>
    <t>Positive_Praise</t>
  </si>
  <si>
    <t>Negative_Complaint</t>
  </si>
  <si>
    <t>Urgent_Support</t>
  </si>
  <si>
    <t>A2</t>
  </si>
  <si>
    <t>Examples:</t>
  </si>
  <si>
    <t>A3</t>
  </si>
  <si>
    <t>A4</t>
  </si>
  <si>
    <t>I love the quality of the product.</t>
  </si>
  <si>
    <t>My package arrived damaged.</t>
  </si>
  <si>
    <t>I was charged twice for my order.</t>
  </si>
  <si>
    <t>A5</t>
  </si>
  <si>
    <t>My package arrived earlier than expected.</t>
  </si>
  <si>
    <t>The item is completely different from the pictures.</t>
  </si>
  <si>
    <t>My payment went through but my order is missing.</t>
  </si>
  <si>
    <t>A6</t>
  </si>
  <si>
    <t>Excellent customer service!</t>
  </si>
  <si>
    <t>Delivery took much longer than promised.</t>
  </si>
  <si>
    <t>I can't log into my account.</t>
  </si>
  <si>
    <t>A7</t>
  </si>
  <si>
    <t>The ordering process was simple and fast.</t>
  </si>
  <si>
    <t>I received the wrong product.</t>
  </si>
  <si>
    <t>Please cancel my order immediately.</t>
  </si>
  <si>
    <t>A8</t>
  </si>
  <si>
    <t>I'm very satisfied with my purchase.</t>
  </si>
  <si>
    <t>The app keeps crashing during checkout.</t>
  </si>
  <si>
    <t>My package was marked delivered but I never received it.</t>
  </si>
  <si>
    <t>A9</t>
  </si>
  <si>
    <t>The product matches the description perfectly.</t>
  </si>
  <si>
    <t>Customer service never replied to my concern.</t>
  </si>
  <si>
    <t>My account has been locked.</t>
  </si>
  <si>
    <t>A10</t>
  </si>
  <si>
    <t>Thank you for the quick delivery.</t>
  </si>
  <si>
    <t>The product stopped working after one day.</t>
  </si>
  <si>
    <t>I need to change my shipping address before the item ships.</t>
  </si>
  <si>
    <t>B1</t>
  </si>
  <si>
    <t>The app is easy to use.</t>
  </si>
  <si>
    <t>This purchase was a waste of money.</t>
  </si>
  <si>
    <t>Someone accessed my account without permission.</t>
  </si>
  <si>
    <t>B2</t>
  </si>
  <si>
    <t>Five stars! Highly recommended.</t>
  </si>
  <si>
    <t>I want a refund immediately.</t>
  </si>
  <si>
    <t>I can't complete the payment and the sale ends today.</t>
  </si>
  <si>
    <t>B3</t>
  </si>
  <si>
    <t>I'll definitely shop here again.</t>
  </si>
  <si>
    <t>The quality is very disappointing.</t>
  </si>
  <si>
    <t>Urgent! My gift order must arrive by tomorrow.</t>
  </si>
  <si>
    <t>B4</t>
  </si>
  <si>
    <t>B5</t>
  </si>
  <si>
    <t>B6</t>
  </si>
  <si>
    <t>B7</t>
  </si>
  <si>
    <t>B8</t>
  </si>
  <si>
    <t>Test Case A</t>
  </si>
  <si>
    <t>Test Case B</t>
  </si>
  <si>
    <t>Test Case C</t>
  </si>
  <si>
    <t>B9</t>
  </si>
  <si>
    <t>B10</t>
  </si>
  <si>
    <t>This product exceeded my expectations.</t>
  </si>
  <si>
    <t>Recognised as Negative_Complaint
with 66% confidence</t>
  </si>
  <si>
    <t>Great, another order that arrived broken.</t>
  </si>
  <si>
    <t>Recognised as Negative_Complaint
with 53% confidence</t>
  </si>
  <si>
    <t>Can I update my delivery address?</t>
  </si>
  <si>
    <t>Recognised as Urgent_Support
with 83% confidence</t>
  </si>
  <si>
    <t>C1</t>
  </si>
  <si>
    <t>Fast shipping and excellent packaging.</t>
  </si>
  <si>
    <t>Recognised as Positive_Praise
with 94% confidence</t>
  </si>
  <si>
    <t>Fantastic, I received the wrong item again.</t>
  </si>
  <si>
    <t>Recognised as Negative_Complaint
with 89% confidence</t>
  </si>
  <si>
    <t>How do I apply a discount code?</t>
  </si>
  <si>
    <t>Recognised as Urgent_Support
with 5% confidence</t>
  </si>
  <si>
    <t>C2</t>
  </si>
  <si>
    <t>Very happy with my purchase.</t>
  </si>
  <si>
    <t>Recognised as Positive_Praise
with 97% confidence</t>
  </si>
  <si>
    <t>Amazing, my package is delayed for the third time.</t>
  </si>
  <si>
    <t>Recognised as Positive_Praise
with 58% confidence</t>
  </si>
  <si>
    <t>Where can I download my invoice?</t>
  </si>
  <si>
    <t>C3</t>
  </si>
  <si>
    <t>The quality is outstanding.</t>
  </si>
  <si>
    <t>Recognised as Positive_Praise
with 72% confidence</t>
  </si>
  <si>
    <t>Wonderful, customer support ignored my messages.</t>
  </si>
  <si>
    <t>Recognised as Negative_Complaint
with 68% confidence</t>
  </si>
  <si>
    <t>Can I change my payment method?</t>
  </si>
  <si>
    <t>Recognised as Urgent_Support
with 8% confidence</t>
  </si>
  <si>
    <t>C4</t>
  </si>
  <si>
    <t>Everything arrived in perfect condition.</t>
  </si>
  <si>
    <t>Recognised as Positive_Praise
with 84% confidence</t>
  </si>
  <si>
    <t>Perfect, now I have to request another refund.</t>
  </si>
  <si>
    <t>How can I track my package?</t>
  </si>
  <si>
    <t>Recognised as Urgent_Support
with 58% confidence</t>
  </si>
  <si>
    <t>C5</t>
  </si>
  <si>
    <t>This is the best online store I've used.</t>
  </si>
  <si>
    <t>Recognised as Positive_Praise
with 86% confidence</t>
  </si>
  <si>
    <t>Excellent job sending me the wrong size.</t>
  </si>
  <si>
    <t>Recognised as Negative_Complaint
with 70% confidence</t>
  </si>
  <si>
    <t>Can I edit my order before it ships?</t>
  </si>
  <si>
    <t>Recognised as Urgent_Support
with 96% confidence</t>
  </si>
  <si>
    <t>C6</t>
  </si>
  <si>
    <t>Customer support solved my issue quickly.</t>
  </si>
  <si>
    <t>Recognised as Negative_Complaint
with 65% confidence</t>
  </si>
  <si>
    <t>Thanks for making me wait two weeks for delivery.</t>
  </si>
  <si>
    <t>Recognised as Positive_Praise
with 80% confidence</t>
  </si>
  <si>
    <t>Where can I view my purchase history?</t>
  </si>
  <si>
    <t>Recognised as Urgent_Support
with 12% confidence</t>
  </si>
  <si>
    <t>C7</t>
  </si>
  <si>
    <t>The checkout process was simple and convenient.</t>
  </si>
  <si>
    <t>Recognised as Positive_Praise
with 96% confidence</t>
  </si>
  <si>
    <t>Five stars for delivering my package to the wrong address.</t>
  </si>
  <si>
    <t>Recognised as Urgent_Support
with 52% confidence</t>
  </si>
  <si>
    <t>How do I remove an item from my cart?</t>
  </si>
  <si>
    <t>Recognised as Urgent_Support
with 36% confidence</t>
  </si>
  <si>
    <t>C8</t>
  </si>
  <si>
    <t>My order arrived earlier than expected.</t>
  </si>
  <si>
    <t>Recognised as Positive_Praise
with 87% confidence</t>
  </si>
  <si>
    <t>I just love receiving damaged products.</t>
  </si>
  <si>
    <t>Recognised as Negative_Complaint
with 81% confidence</t>
  </si>
  <si>
    <t>Can I change my account email?</t>
  </si>
  <si>
    <t>Recognised as Urgent_Support
with 18% confidence</t>
  </si>
  <si>
    <t>C9</t>
  </si>
  <si>
    <t>I would definitely buy from this store again.</t>
  </si>
  <si>
    <t>Recognised as Positive_Praise
with 73% confidence</t>
  </si>
  <si>
    <t>Awesome, another order cancelled without notice.</t>
  </si>
  <si>
    <t>Recognised as Urgent_Support
with 76% confidence</t>
  </si>
  <si>
    <t>How do I contact the seller?</t>
  </si>
  <si>
    <t>Recognised as Urgent_Support
with 20% confidence</t>
  </si>
  <si>
    <t>C10</t>
  </si>
  <si>
    <t>Metric</t>
  </si>
  <si>
    <t>Positive_Praise (Test A)</t>
  </si>
  <si>
    <t>Negative_Complaint (Test B)</t>
  </si>
  <si>
    <t>Urgent_Support (Test C)</t>
  </si>
  <si>
    <t>Accuracy</t>
  </si>
  <si>
    <t>20 Examples</t>
  </si>
  <si>
    <t>Precision</t>
  </si>
  <si>
    <t>Recal</t>
  </si>
  <si>
    <t>F1-Score</t>
  </si>
  <si>
    <t>I received exactly what I ordered, and I'm very satisfied.</t>
  </si>
  <si>
    <t>My order arrived several days later than promised.</t>
  </si>
  <si>
    <t>Please help me recover my account immediately.</t>
  </si>
  <si>
    <t>The product quality is exceptional for the price.</t>
  </si>
  <si>
    <t>The item I received was already damaged.</t>
  </si>
  <si>
    <t>My payment was deducted, but my order is still pending.</t>
  </si>
  <si>
    <t>My shopping experience was smooth from start to finish.</t>
  </si>
  <si>
    <t>I paid for a new product but received a used one.</t>
  </si>
  <si>
    <t>I accidentally entered the wrong shipping address and need to fix it now.</t>
  </si>
  <si>
    <t>Delivery was faster than I expected.</t>
  </si>
  <si>
    <t>The product description was misleading.</t>
  </si>
  <si>
    <t>I can't complete my purchase because the checkout page won't load.</t>
  </si>
  <si>
    <t>The seller responded politely and resolved my concern.</t>
  </si>
  <si>
    <t>I have contacted customer service several times with no response.</t>
  </si>
  <si>
    <t>Someone changed my account password without my permission.</t>
  </si>
  <si>
    <t>I'm impressed by how well the item was packaged.</t>
  </si>
  <si>
    <t>The quality is much worse than I expected.</t>
  </si>
  <si>
    <t>I need immediate assistance because my order contains an important gift.</t>
  </si>
  <si>
    <t>The product works perfectly and matches the description.</t>
  </si>
  <si>
    <t>My package is missing some of the items I ordered.</t>
  </si>
  <si>
    <t>My order disappeared from my account after payment.</t>
  </si>
  <si>
    <t>I appreciate the excellent customer service.</t>
  </si>
  <si>
    <t>The app freezes whenever I try to complete my purchase.</t>
  </si>
  <si>
    <t>I can't verify my account because the verification email never arrived.</t>
  </si>
  <si>
    <t>This store has earned my trust for future purchases.</t>
  </si>
  <si>
    <t>I regret buying this product because it doesn't work properly.</t>
  </si>
  <si>
    <t>My order was cancelled automatically, and I need help right away.</t>
  </si>
  <si>
    <t>Everything about this purchase exceeded my expectations.</t>
  </si>
  <si>
    <t>This has been the worst online shopping experience I've had.</t>
  </si>
  <si>
    <t>Please respond as soon as possible because this issue is urgent.</t>
  </si>
  <si>
    <t>Recognised as Positive_Praise
with 88% confidence</t>
  </si>
  <si>
    <t>Recognised as Negative_Complaint
with 73% confidence</t>
  </si>
  <si>
    <t>Recognised as Urgent_Support
with 87% confidence</t>
  </si>
  <si>
    <t>Recognised as Positive_Praise
with 98% confidence</t>
  </si>
  <si>
    <t>Recognised as Negative_Complaint
with 87% confidence</t>
  </si>
  <si>
    <t>Recognised as Positive_Praise
with 99% confidence</t>
  </si>
  <si>
    <t>Recognised as Positive_Praise
with 59% confidence</t>
  </si>
  <si>
    <t>Recognised as Urgent_Support
with 6% confidence</t>
  </si>
  <si>
    <t>Recognised as Positive_Praise
with 76% confidence</t>
  </si>
  <si>
    <t>Recognised as Negative_Complaint
with 60% confidence</t>
  </si>
  <si>
    <t>Recognised as Urgent_Support
with 9% confidence</t>
  </si>
  <si>
    <t>Recognised as Positive_Praise
with 95% confidence</t>
  </si>
  <si>
    <t>Recognised as Positive_Praise
with 31% confidence</t>
  </si>
  <si>
    <t>Recognised as Positive_Praise
with 83% confidence</t>
  </si>
  <si>
    <t>Recognised as Negative_Complaint
with 52% confidence</t>
  </si>
  <si>
    <t>Recognised as Urgent_Support
with 95% confidence</t>
  </si>
  <si>
    <t>Recognised as Positive_Praise
with 43% confidence</t>
  </si>
  <si>
    <t>Recognised as Positive_Praise
with 85% confidence</t>
  </si>
  <si>
    <t>Recognised as Urgent_Support
with 17% confidence</t>
  </si>
  <si>
    <t>Recognised as Urgent_Support
with 55% confidence</t>
  </si>
  <si>
    <t>Recognised as Urgent_Support
with 28% confidence</t>
  </si>
  <si>
    <t>Recognised as Negative_Complaint
with 86% confidence</t>
  </si>
  <si>
    <t>Recognised as Urgent_Support
with 22% confidence</t>
  </si>
  <si>
    <t>Recognised as Urgent_Support
with 68% confidence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</si>
</sst>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0"/>
      <color rgb="FF000000"/>
      <name val="Arial"/>
      <scheme val="minor"/>
    </font>
    <font>
      <b/>
      <sz val="25"/>
      <color theme="1"/>
      <name val="Arial"/>
      <scheme val="minor"/>
    </font>
    <font>
      <sz val="10"/>
      <color theme="1"/>
      <name val="Arial"/>
      <scheme val="minor"/>
    </font>
    <font>
      <b/>
      <sz val="15"/>
      <color theme="1"/>
      <name val="Arial"/>
      <scheme val="minor"/>
    </font>
    <font>
      <b/>
      <sz val="11"/>
      <color rgb="FF333333"/>
      <name val="Times New Roman"/>
    </font>
    <font>
      <b/>
      <sz val="10"/>
      <color theme="1"/>
      <name val="Times New Roman"/>
    </font>
    <font>
      <sz val="14"/>
      <color theme="1"/>
      <name val="Arial"/>
      <scheme val="minor"/>
    </font>
    <font>
      <sz val="13"/>
      <color theme="1"/>
      <name val="Arial"/>
      <scheme val="minor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2" fillId="0" borderId="0" xfId="0" applyFont="1"/>
    <xf numFmtId="0" fontId="4" fillId="3" borderId="0" xfId="0" applyFont="1" applyFill="1"/>
    <xf numFmtId="0" fontId="5" fillId="0" borderId="0" xfId="0" applyFont="1"/>
    <xf numFmtId="0" fontId="3" fillId="0" borderId="0" xfId="0" applyFont="1" applyAlignment="1">
      <alignment horizontal="center"/>
    </xf>
    <xf numFmtId="9" fontId="2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10" fontId="7" fillId="0" borderId="0" xfId="0" applyNumberFormat="1" applyFont="1" applyAlignment="1">
      <alignment vertical="center"/>
    </xf>
    <xf numFmtId="10" fontId="2" fillId="0" borderId="0" xfId="0" applyNumberFormat="1" applyFont="1" applyAlignment="1">
      <alignment vertical="center"/>
    </xf>
    <xf numFmtId="0" fontId="8" fillId="0" borderId="0" xfId="0" applyFont="1"/>
    <xf numFmtId="0" fontId="1" fillId="2" borderId="0" xfId="0" applyFont="1" applyFill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18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name="Sheet1-style" pivot="0" count="4" xr9:uid="{00000000-0011-0000-FFFF-FFFF00000000}">
      <tableStyleElement type="wholeTable" size="0" dxfId="17"/>
      <tableStyleElement type="headerRow" dxfId="16"/>
      <tableStyleElement type="firstRowStripe" dxfId="15"/>
      <tableStyleElement type="secondRowStripe" dxfId="14"/>
    </tableStyle>
    <tableStyle name="Sheet1-style 2" pivot="0" count="4" xr9:uid="{00000000-0011-0000-FFFF-FFFF01000000}">
      <tableStyleElement type="wholeTable" size="0" dxfId="13"/>
      <tableStyleElement type="headerRow" dxfId="12"/>
      <tableStyleElement type="firstRowStripe" dxfId="11"/>
      <tableStyleElement type="secondRowStripe" dxfId="10"/>
    </tableStyle>
    <tableStyle name="Sheet1-style 3" pivot="0" count="5" xr9:uid="{00000000-0011-0000-FFFF-FFFF02000000}">
      <tableStyleElement type="wholeTable" size="0" dxfId="9"/>
      <tableStyleElement type="headerRow" dxfId="8"/>
      <tableStyleElement type="totalRow" dxfId="7"/>
      <tableStyleElement type="firstRowStripe" dxfId="6"/>
      <tableStyleElement type="secondRowStripe" dxfId="5"/>
    </tableStyle>
    <tableStyle name="Sheet1-style 4" pivot="0" count="5" xr9:uid="{00000000-0011-0000-FFFF-FFFF03000000}">
      <tableStyleElement type="wholeTable" size="0" dxfId="4"/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K1:M31">
  <tableColumns count="3">
    <tableColumn id="1" xr3:uid="{00000000-0010-0000-0000-000001000000}" name="Test_Case (10 Examples)"/>
    <tableColumn id="2" xr3:uid="{00000000-0010-0000-0000-000002000000}" name="Expected"/>
    <tableColumn id="3" xr3:uid="{00000000-0010-0000-0000-000003000000}" name="Output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O1:Q31">
  <tableColumns count="3">
    <tableColumn id="1" xr3:uid="{00000000-0010-0000-0100-000001000000}" name="Test_Case (20 Examples)"/>
    <tableColumn id="2" xr3:uid="{00000000-0010-0000-0100-000002000000}" name="Expected"/>
    <tableColumn id="3" xr3:uid="{00000000-0010-0000-0100-000003000000}" name="Output"/>
  </tableColumns>
  <tableStyleInfo name="Sheet1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est_Case_10_Examples" displayName="Test_Case_10_Examples" ref="K38:N43" totalsRowCount="1">
  <tableColumns count="4">
    <tableColumn id="1" xr3:uid="{00000000-0010-0000-0200-000001000000}" name="Metric"/>
    <tableColumn id="2" xr3:uid="{00000000-0010-0000-0200-000002000000}" name="Positive_Praise (Test A)"/>
    <tableColumn id="3" xr3:uid="{00000000-0010-0000-0200-000003000000}" name="Negative_Complaint (Test B)"/>
    <tableColumn id="4" xr3:uid="{00000000-0010-0000-0200-000004000000}" name="Urgent_Support (Test C)"/>
  </tableColumns>
  <tableStyleInfo name="Sheet1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est_Case_20_Examples" displayName="Test_Case_20_Examples" ref="K49:N54" totalsRowCount="1">
  <tableColumns count="4">
    <tableColumn id="1" xr3:uid="{00000000-0010-0000-0300-000001000000}" name="Metric"/>
    <tableColumn id="2" xr3:uid="{00000000-0010-0000-0300-000002000000}" name="Positive_Praise (Test A)"/>
    <tableColumn id="3" xr3:uid="{00000000-0010-0000-0300-000003000000}" name="Negative_Complaint (Test B)"/>
    <tableColumn id="4" xr3:uid="{00000000-0010-0000-0300-000004000000}" name="Urgent_Support (Test C)"/>
  </tableColumns>
  <tableStyleInfo name="Sheet1-style 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83"/>
  <sheetViews>
    <sheetView tabSelected="1" topLeftCell="J1" workbookViewId="0"/>
  </sheetViews>
  <sheetFormatPr defaultColWidth="12.5703125" defaultRowHeight="15.75" customHeight="1"/>
  <cols>
    <col min="1" max="1" width="45.42578125" customWidth="1"/>
    <col min="2" max="2" width="33.42578125" customWidth="1"/>
    <col min="4" max="4" width="50.5703125" customWidth="1"/>
    <col min="5" max="5" width="32.85546875" customWidth="1"/>
    <col min="7" max="7" width="55.42578125" customWidth="1"/>
    <col min="8" max="8" width="32.85546875" customWidth="1"/>
    <col min="10" max="10" width="20.7109375" customWidth="1"/>
    <col min="11" max="11" width="24.42578125" customWidth="1"/>
    <col min="12" max="12" width="29.42578125" customWidth="1"/>
    <col min="13" max="13" width="29.7109375" customWidth="1"/>
    <col min="14" max="14" width="24.7109375" customWidth="1"/>
    <col min="15" max="15" width="23.5703125" customWidth="1"/>
    <col min="17" max="17" width="21.140625" customWidth="1"/>
    <col min="18" max="18" width="18.5703125" customWidth="1"/>
    <col min="19" max="19" width="18.140625" customWidth="1"/>
  </cols>
  <sheetData>
    <row r="1" spans="1:17" ht="22.5" customHeight="1">
      <c r="A1" s="18" t="s">
        <v>0</v>
      </c>
      <c r="B1" s="19"/>
      <c r="C1" s="19"/>
      <c r="D1" s="19"/>
      <c r="E1" s="19"/>
      <c r="F1" s="19"/>
      <c r="G1" s="19"/>
      <c r="H1" s="19"/>
      <c r="K1" s="1" t="s">
        <v>1</v>
      </c>
      <c r="L1" s="2" t="s">
        <v>2</v>
      </c>
      <c r="M1" s="1" t="s">
        <v>3</v>
      </c>
      <c r="O1" s="1" t="s">
        <v>4</v>
      </c>
      <c r="P1" s="2" t="s">
        <v>2</v>
      </c>
      <c r="Q1" s="1" t="s">
        <v>3</v>
      </c>
    </row>
    <row r="2" spans="1:17" ht="22.5" customHeight="1">
      <c r="A2" s="19"/>
      <c r="B2" s="19"/>
      <c r="C2" s="19"/>
      <c r="D2" s="19"/>
      <c r="E2" s="19"/>
      <c r="F2" s="19"/>
      <c r="G2" s="19"/>
      <c r="H2" s="19"/>
      <c r="K2" s="3" t="s">
        <v>5</v>
      </c>
      <c r="L2" s="3" t="s">
        <v>6</v>
      </c>
      <c r="M2" s="3" t="s">
        <v>7</v>
      </c>
      <c r="O2" s="3" t="s">
        <v>5</v>
      </c>
      <c r="P2" s="3" t="s">
        <v>6</v>
      </c>
      <c r="Q2" s="3" t="s">
        <v>6</v>
      </c>
    </row>
    <row r="3" spans="1:17" ht="22.5" customHeight="1">
      <c r="A3" s="4" t="s">
        <v>6</v>
      </c>
      <c r="B3" s="4"/>
      <c r="C3" s="4"/>
      <c r="D3" s="4" t="s">
        <v>7</v>
      </c>
      <c r="E3" s="4"/>
      <c r="F3" s="4"/>
      <c r="G3" s="4" t="s">
        <v>8</v>
      </c>
      <c r="K3" s="3" t="s">
        <v>9</v>
      </c>
      <c r="L3" s="3" t="s">
        <v>6</v>
      </c>
      <c r="M3" s="3" t="s">
        <v>6</v>
      </c>
      <c r="O3" s="3" t="s">
        <v>9</v>
      </c>
      <c r="P3" s="3" t="s">
        <v>6</v>
      </c>
      <c r="Q3" s="3" t="s">
        <v>6</v>
      </c>
    </row>
    <row r="4" spans="1:17" ht="22.5" customHeight="1">
      <c r="A4" s="4" t="s">
        <v>10</v>
      </c>
      <c r="B4" s="4"/>
      <c r="C4" s="4"/>
      <c r="D4" s="4" t="s">
        <v>10</v>
      </c>
      <c r="E4" s="4"/>
      <c r="F4" s="4"/>
      <c r="G4" s="4" t="s">
        <v>10</v>
      </c>
      <c r="K4" s="3" t="s">
        <v>11</v>
      </c>
      <c r="L4" s="3" t="s">
        <v>6</v>
      </c>
      <c r="M4" s="3" t="s">
        <v>6</v>
      </c>
      <c r="O4" s="3" t="s">
        <v>11</v>
      </c>
      <c r="P4" s="3" t="s">
        <v>6</v>
      </c>
      <c r="Q4" s="3" t="s">
        <v>6</v>
      </c>
    </row>
    <row r="5" spans="1:17" ht="22.5" customHeight="1">
      <c r="K5" s="3" t="s">
        <v>12</v>
      </c>
      <c r="L5" s="3" t="s">
        <v>6</v>
      </c>
      <c r="M5" s="3" t="s">
        <v>6</v>
      </c>
      <c r="O5" s="3" t="s">
        <v>12</v>
      </c>
      <c r="P5" s="3" t="s">
        <v>6</v>
      </c>
      <c r="Q5" s="3" t="s">
        <v>6</v>
      </c>
    </row>
    <row r="6" spans="1:17" ht="22.5" customHeight="1">
      <c r="A6" s="5" t="s">
        <v>13</v>
      </c>
      <c r="D6" s="5" t="s">
        <v>14</v>
      </c>
      <c r="G6" s="5" t="s">
        <v>15</v>
      </c>
      <c r="K6" s="3" t="s">
        <v>16</v>
      </c>
      <c r="L6" s="3" t="s">
        <v>6</v>
      </c>
      <c r="M6" s="3" t="s">
        <v>6</v>
      </c>
      <c r="O6" s="3" t="s">
        <v>16</v>
      </c>
      <c r="P6" s="3" t="s">
        <v>6</v>
      </c>
      <c r="Q6" s="3" t="s">
        <v>6</v>
      </c>
    </row>
    <row r="7" spans="1:17" ht="22.5" customHeight="1">
      <c r="A7" s="5" t="s">
        <v>17</v>
      </c>
      <c r="D7" s="5" t="s">
        <v>18</v>
      </c>
      <c r="G7" s="5" t="s">
        <v>19</v>
      </c>
      <c r="K7" s="3" t="s">
        <v>20</v>
      </c>
      <c r="L7" s="3" t="s">
        <v>6</v>
      </c>
      <c r="M7" s="3" t="s">
        <v>6</v>
      </c>
      <c r="O7" s="3" t="s">
        <v>20</v>
      </c>
      <c r="P7" s="3" t="s">
        <v>6</v>
      </c>
      <c r="Q7" s="3" t="s">
        <v>6</v>
      </c>
    </row>
    <row r="8" spans="1:17" ht="22.5" customHeight="1">
      <c r="A8" s="5" t="s">
        <v>21</v>
      </c>
      <c r="D8" s="5" t="s">
        <v>22</v>
      </c>
      <c r="G8" s="5" t="s">
        <v>23</v>
      </c>
      <c r="K8" s="3" t="s">
        <v>24</v>
      </c>
      <c r="L8" s="3" t="s">
        <v>6</v>
      </c>
      <c r="M8" s="3" t="s">
        <v>7</v>
      </c>
      <c r="O8" s="3" t="s">
        <v>24</v>
      </c>
      <c r="P8" s="3" t="s">
        <v>6</v>
      </c>
      <c r="Q8" s="3" t="s">
        <v>6</v>
      </c>
    </row>
    <row r="9" spans="1:17" ht="22.5" customHeight="1">
      <c r="A9" s="5" t="s">
        <v>25</v>
      </c>
      <c r="D9" s="5" t="s">
        <v>26</v>
      </c>
      <c r="G9" s="5" t="s">
        <v>27</v>
      </c>
      <c r="K9" s="3" t="s">
        <v>28</v>
      </c>
      <c r="L9" s="3" t="s">
        <v>6</v>
      </c>
      <c r="M9" s="3" t="s">
        <v>6</v>
      </c>
      <c r="O9" s="3" t="s">
        <v>28</v>
      </c>
      <c r="P9" s="3" t="s">
        <v>6</v>
      </c>
      <c r="Q9" s="3" t="s">
        <v>6</v>
      </c>
    </row>
    <row r="10" spans="1:17" ht="22.5" customHeight="1">
      <c r="A10" s="5" t="s">
        <v>29</v>
      </c>
      <c r="D10" s="5" t="s">
        <v>30</v>
      </c>
      <c r="G10" s="5" t="s">
        <v>31</v>
      </c>
      <c r="K10" s="3" t="s">
        <v>32</v>
      </c>
      <c r="L10" s="3" t="s">
        <v>6</v>
      </c>
      <c r="M10" s="3" t="s">
        <v>6</v>
      </c>
      <c r="O10" s="3" t="s">
        <v>32</v>
      </c>
      <c r="P10" s="3" t="s">
        <v>6</v>
      </c>
      <c r="Q10" s="3" t="s">
        <v>6</v>
      </c>
    </row>
    <row r="11" spans="1:17" ht="22.5" customHeight="1">
      <c r="A11" s="5" t="s">
        <v>33</v>
      </c>
      <c r="D11" s="5" t="s">
        <v>34</v>
      </c>
      <c r="G11" s="5" t="s">
        <v>35</v>
      </c>
      <c r="K11" s="3" t="s">
        <v>36</v>
      </c>
      <c r="L11" s="3" t="s">
        <v>6</v>
      </c>
      <c r="M11" s="3" t="s">
        <v>6</v>
      </c>
      <c r="O11" s="3" t="s">
        <v>36</v>
      </c>
      <c r="P11" s="3" t="s">
        <v>6</v>
      </c>
      <c r="Q11" s="3" t="s">
        <v>6</v>
      </c>
    </row>
    <row r="12" spans="1:17" ht="22.5" customHeight="1">
      <c r="A12" s="5" t="s">
        <v>37</v>
      </c>
      <c r="D12" s="5" t="s">
        <v>38</v>
      </c>
      <c r="G12" s="5" t="s">
        <v>39</v>
      </c>
      <c r="K12" s="3" t="s">
        <v>40</v>
      </c>
      <c r="L12" s="3" t="s">
        <v>7</v>
      </c>
      <c r="M12" s="3" t="s">
        <v>7</v>
      </c>
      <c r="O12" s="3" t="s">
        <v>40</v>
      </c>
      <c r="P12" s="3" t="s">
        <v>7</v>
      </c>
      <c r="Q12" s="3" t="s">
        <v>7</v>
      </c>
    </row>
    <row r="13" spans="1:17" ht="22.5" customHeight="1">
      <c r="A13" s="5" t="s">
        <v>41</v>
      </c>
      <c r="D13" s="5" t="s">
        <v>42</v>
      </c>
      <c r="G13" s="5" t="s">
        <v>43</v>
      </c>
      <c r="K13" s="3" t="s">
        <v>44</v>
      </c>
      <c r="L13" s="3" t="s">
        <v>7</v>
      </c>
      <c r="M13" s="3" t="s">
        <v>7</v>
      </c>
      <c r="O13" s="3" t="s">
        <v>44</v>
      </c>
      <c r="P13" s="3" t="s">
        <v>7</v>
      </c>
      <c r="Q13" s="3" t="s">
        <v>7</v>
      </c>
    </row>
    <row r="14" spans="1:17" ht="22.5" customHeight="1">
      <c r="A14" s="5" t="s">
        <v>45</v>
      </c>
      <c r="D14" s="5" t="s">
        <v>46</v>
      </c>
      <c r="G14" s="5" t="s">
        <v>47</v>
      </c>
      <c r="K14" s="3" t="s">
        <v>48</v>
      </c>
      <c r="L14" s="3" t="s">
        <v>7</v>
      </c>
      <c r="M14" s="3" t="s">
        <v>6</v>
      </c>
      <c r="O14" s="3" t="s">
        <v>48</v>
      </c>
      <c r="P14" s="3" t="s">
        <v>7</v>
      </c>
      <c r="Q14" s="3" t="s">
        <v>6</v>
      </c>
    </row>
    <row r="15" spans="1:17" ht="22.5" customHeight="1">
      <c r="A15" s="5" t="s">
        <v>49</v>
      </c>
      <c r="D15" s="5" t="s">
        <v>50</v>
      </c>
      <c r="G15" s="5" t="s">
        <v>51</v>
      </c>
      <c r="K15" s="3" t="s">
        <v>52</v>
      </c>
      <c r="L15" s="3" t="s">
        <v>7</v>
      </c>
      <c r="M15" s="3" t="s">
        <v>7</v>
      </c>
      <c r="O15" s="3" t="s">
        <v>52</v>
      </c>
      <c r="P15" s="3" t="s">
        <v>7</v>
      </c>
      <c r="Q15" s="3" t="s">
        <v>7</v>
      </c>
    </row>
    <row r="16" spans="1:17" ht="22.5" customHeight="1">
      <c r="K16" s="3" t="s">
        <v>53</v>
      </c>
      <c r="L16" s="3" t="s">
        <v>7</v>
      </c>
      <c r="M16" s="3" t="s">
        <v>7</v>
      </c>
      <c r="O16" s="3" t="s">
        <v>53</v>
      </c>
      <c r="P16" s="3" t="s">
        <v>7</v>
      </c>
      <c r="Q16" s="3" t="s">
        <v>7</v>
      </c>
    </row>
    <row r="17" spans="1:17" ht="22.5" customHeight="1">
      <c r="K17" s="3" t="s">
        <v>54</v>
      </c>
      <c r="L17" s="3" t="s">
        <v>7</v>
      </c>
      <c r="M17" s="3" t="s">
        <v>7</v>
      </c>
      <c r="O17" s="3" t="s">
        <v>54</v>
      </c>
      <c r="P17" s="3" t="s">
        <v>7</v>
      </c>
      <c r="Q17" s="3" t="s">
        <v>7</v>
      </c>
    </row>
    <row r="18" spans="1:17" ht="22.5" customHeight="1">
      <c r="K18" s="3" t="s">
        <v>55</v>
      </c>
      <c r="L18" s="3" t="s">
        <v>7</v>
      </c>
      <c r="M18" s="3" t="s">
        <v>6</v>
      </c>
      <c r="O18" s="3" t="s">
        <v>55</v>
      </c>
      <c r="P18" s="3" t="s">
        <v>7</v>
      </c>
      <c r="Q18" s="3" t="s">
        <v>6</v>
      </c>
    </row>
    <row r="19" spans="1:17" ht="22.5" customHeight="1">
      <c r="K19" s="3" t="s">
        <v>56</v>
      </c>
      <c r="L19" s="3" t="s">
        <v>7</v>
      </c>
      <c r="M19" s="3" t="s">
        <v>8</v>
      </c>
      <c r="O19" s="3" t="s">
        <v>56</v>
      </c>
      <c r="P19" s="3" t="s">
        <v>7</v>
      </c>
      <c r="Q19" s="3" t="s">
        <v>8</v>
      </c>
    </row>
    <row r="20" spans="1:17" ht="22.5" customHeight="1">
      <c r="A20" s="4" t="s">
        <v>57</v>
      </c>
      <c r="B20" s="4"/>
      <c r="C20" s="4"/>
      <c r="D20" s="4" t="s">
        <v>58</v>
      </c>
      <c r="E20" s="4"/>
      <c r="F20" s="4"/>
      <c r="G20" s="4" t="s">
        <v>59</v>
      </c>
      <c r="K20" s="3" t="s">
        <v>60</v>
      </c>
      <c r="L20" s="3" t="s">
        <v>7</v>
      </c>
      <c r="M20" s="3" t="s">
        <v>7</v>
      </c>
      <c r="O20" s="3" t="s">
        <v>60</v>
      </c>
      <c r="P20" s="3" t="s">
        <v>7</v>
      </c>
      <c r="Q20" s="3" t="s">
        <v>7</v>
      </c>
    </row>
    <row r="21" spans="1:17" ht="22.5" customHeight="1">
      <c r="K21" s="3" t="s">
        <v>61</v>
      </c>
      <c r="L21" s="3" t="s">
        <v>7</v>
      </c>
      <c r="M21" s="3" t="s">
        <v>8</v>
      </c>
      <c r="O21" s="3" t="s">
        <v>61</v>
      </c>
      <c r="P21" s="3" t="s">
        <v>7</v>
      </c>
      <c r="Q21" s="3" t="s">
        <v>8</v>
      </c>
    </row>
    <row r="22" spans="1:17" ht="22.5" customHeight="1">
      <c r="A22" s="5" t="s">
        <v>62</v>
      </c>
      <c r="B22" s="6" t="s">
        <v>63</v>
      </c>
      <c r="D22" s="5" t="s">
        <v>64</v>
      </c>
      <c r="E22" s="6" t="s">
        <v>65</v>
      </c>
      <c r="G22" s="5" t="s">
        <v>66</v>
      </c>
      <c r="H22" s="6" t="s">
        <v>67</v>
      </c>
      <c r="K22" s="3" t="s">
        <v>68</v>
      </c>
      <c r="L22" s="3" t="s">
        <v>8</v>
      </c>
      <c r="M22" s="3" t="s">
        <v>8</v>
      </c>
      <c r="O22" s="3" t="s">
        <v>68</v>
      </c>
      <c r="P22" s="3" t="s">
        <v>8</v>
      </c>
      <c r="Q22" s="3" t="s">
        <v>8</v>
      </c>
    </row>
    <row r="23" spans="1:17" ht="22.5" customHeight="1">
      <c r="A23" s="5" t="s">
        <v>69</v>
      </c>
      <c r="B23" s="6" t="s">
        <v>70</v>
      </c>
      <c r="D23" s="5" t="s">
        <v>71</v>
      </c>
      <c r="E23" s="6" t="s">
        <v>72</v>
      </c>
      <c r="G23" s="5" t="s">
        <v>73</v>
      </c>
      <c r="H23" s="6" t="s">
        <v>74</v>
      </c>
      <c r="K23" s="3" t="s">
        <v>75</v>
      </c>
      <c r="L23" s="3" t="s">
        <v>8</v>
      </c>
      <c r="M23" s="3" t="s">
        <v>8</v>
      </c>
      <c r="O23" s="3" t="s">
        <v>75</v>
      </c>
      <c r="P23" s="3" t="s">
        <v>8</v>
      </c>
      <c r="Q23" s="3" t="s">
        <v>8</v>
      </c>
    </row>
    <row r="24" spans="1:17" ht="22.5" customHeight="1">
      <c r="A24" s="5" t="s">
        <v>76</v>
      </c>
      <c r="B24" s="6" t="s">
        <v>77</v>
      </c>
      <c r="D24" s="5" t="s">
        <v>78</v>
      </c>
      <c r="E24" s="6" t="s">
        <v>79</v>
      </c>
      <c r="G24" s="5" t="s">
        <v>80</v>
      </c>
      <c r="H24" s="6" t="s">
        <v>74</v>
      </c>
      <c r="K24" s="3" t="s">
        <v>81</v>
      </c>
      <c r="L24" s="3" t="s">
        <v>8</v>
      </c>
      <c r="M24" s="3" t="s">
        <v>8</v>
      </c>
      <c r="O24" s="3" t="s">
        <v>81</v>
      </c>
      <c r="P24" s="3" t="s">
        <v>8</v>
      </c>
      <c r="Q24" s="3" t="s">
        <v>8</v>
      </c>
    </row>
    <row r="25" spans="1:17" ht="22.5" customHeight="1">
      <c r="A25" s="5" t="s">
        <v>82</v>
      </c>
      <c r="B25" s="6" t="s">
        <v>83</v>
      </c>
      <c r="D25" s="5" t="s">
        <v>84</v>
      </c>
      <c r="E25" s="7" t="s">
        <v>85</v>
      </c>
      <c r="G25" s="5" t="s">
        <v>86</v>
      </c>
      <c r="H25" s="6" t="s">
        <v>87</v>
      </c>
      <c r="K25" s="3" t="s">
        <v>88</v>
      </c>
      <c r="L25" s="3" t="s">
        <v>8</v>
      </c>
      <c r="M25" s="3" t="s">
        <v>8</v>
      </c>
      <c r="O25" s="3" t="s">
        <v>88</v>
      </c>
      <c r="P25" s="3" t="s">
        <v>8</v>
      </c>
      <c r="Q25" s="3" t="s">
        <v>8</v>
      </c>
    </row>
    <row r="26" spans="1:17" ht="22.5" customHeight="1">
      <c r="A26" s="5" t="s">
        <v>89</v>
      </c>
      <c r="B26" s="7" t="s">
        <v>90</v>
      </c>
      <c r="D26" s="5" t="s">
        <v>91</v>
      </c>
      <c r="E26" s="7" t="s">
        <v>63</v>
      </c>
      <c r="G26" s="5" t="s">
        <v>92</v>
      </c>
      <c r="H26" s="7" t="s">
        <v>93</v>
      </c>
      <c r="K26" s="3" t="s">
        <v>94</v>
      </c>
      <c r="L26" s="3" t="s">
        <v>8</v>
      </c>
      <c r="M26" s="3" t="s">
        <v>8</v>
      </c>
      <c r="O26" s="3" t="s">
        <v>94</v>
      </c>
      <c r="P26" s="3" t="s">
        <v>8</v>
      </c>
      <c r="Q26" s="3" t="s">
        <v>6</v>
      </c>
    </row>
    <row r="27" spans="1:17" ht="22.5" customHeight="1">
      <c r="A27" s="5" t="s">
        <v>95</v>
      </c>
      <c r="B27" s="7" t="s">
        <v>96</v>
      </c>
      <c r="D27" s="5" t="s">
        <v>97</v>
      </c>
      <c r="E27" s="7" t="s">
        <v>98</v>
      </c>
      <c r="G27" s="5" t="s">
        <v>99</v>
      </c>
      <c r="H27" s="7" t="s">
        <v>100</v>
      </c>
      <c r="K27" s="3" t="s">
        <v>101</v>
      </c>
      <c r="L27" s="3" t="s">
        <v>8</v>
      </c>
      <c r="M27" s="3" t="s">
        <v>8</v>
      </c>
      <c r="O27" s="3" t="s">
        <v>101</v>
      </c>
      <c r="P27" s="3" t="s">
        <v>8</v>
      </c>
      <c r="Q27" s="3" t="s">
        <v>8</v>
      </c>
    </row>
    <row r="28" spans="1:17" ht="22.5" customHeight="1">
      <c r="A28" s="5" t="s">
        <v>102</v>
      </c>
      <c r="B28" s="7" t="s">
        <v>103</v>
      </c>
      <c r="D28" s="5" t="s">
        <v>104</v>
      </c>
      <c r="E28" s="7" t="s">
        <v>105</v>
      </c>
      <c r="G28" s="5" t="s">
        <v>106</v>
      </c>
      <c r="H28" s="7" t="s">
        <v>107</v>
      </c>
      <c r="K28" s="3" t="s">
        <v>108</v>
      </c>
      <c r="L28" s="3" t="s">
        <v>8</v>
      </c>
      <c r="M28" s="3" t="s">
        <v>8</v>
      </c>
      <c r="O28" s="3" t="s">
        <v>108</v>
      </c>
      <c r="P28" s="3" t="s">
        <v>8</v>
      </c>
      <c r="Q28" s="3" t="s">
        <v>8</v>
      </c>
    </row>
    <row r="29" spans="1:17" ht="22.5" customHeight="1">
      <c r="A29" s="5" t="s">
        <v>109</v>
      </c>
      <c r="B29" s="7" t="s">
        <v>110</v>
      </c>
      <c r="D29" s="5" t="s">
        <v>111</v>
      </c>
      <c r="E29" s="7" t="s">
        <v>112</v>
      </c>
      <c r="G29" s="5" t="s">
        <v>113</v>
      </c>
      <c r="H29" s="7" t="s">
        <v>114</v>
      </c>
      <c r="K29" s="3" t="s">
        <v>115</v>
      </c>
      <c r="L29" s="3" t="s">
        <v>8</v>
      </c>
      <c r="M29" s="3" t="s">
        <v>8</v>
      </c>
      <c r="O29" s="3" t="s">
        <v>115</v>
      </c>
      <c r="P29" s="3" t="s">
        <v>8</v>
      </c>
      <c r="Q29" s="3" t="s">
        <v>8</v>
      </c>
    </row>
    <row r="30" spans="1:17" ht="22.5" customHeight="1">
      <c r="A30" s="5" t="s">
        <v>116</v>
      </c>
      <c r="B30" s="7" t="s">
        <v>117</v>
      </c>
      <c r="D30" s="5" t="s">
        <v>118</v>
      </c>
      <c r="E30" s="7" t="s">
        <v>119</v>
      </c>
      <c r="G30" s="5" t="s">
        <v>120</v>
      </c>
      <c r="H30" s="7" t="s">
        <v>121</v>
      </c>
      <c r="K30" s="3" t="s">
        <v>122</v>
      </c>
      <c r="L30" s="3" t="s">
        <v>8</v>
      </c>
      <c r="M30" s="3" t="s">
        <v>8</v>
      </c>
      <c r="O30" s="3" t="s">
        <v>122</v>
      </c>
      <c r="P30" s="3" t="s">
        <v>8</v>
      </c>
      <c r="Q30" s="3" t="s">
        <v>8</v>
      </c>
    </row>
    <row r="31" spans="1:17" ht="22.5" customHeight="1">
      <c r="A31" s="5" t="s">
        <v>123</v>
      </c>
      <c r="B31" s="7" t="s">
        <v>124</v>
      </c>
      <c r="D31" s="5" t="s">
        <v>125</v>
      </c>
      <c r="E31" s="7" t="s">
        <v>126</v>
      </c>
      <c r="G31" s="5" t="s">
        <v>127</v>
      </c>
      <c r="H31" s="7" t="s">
        <v>128</v>
      </c>
      <c r="K31" s="3" t="s">
        <v>129</v>
      </c>
      <c r="L31" s="3" t="s">
        <v>8</v>
      </c>
      <c r="M31" s="3" t="s">
        <v>8</v>
      </c>
      <c r="O31" s="3" t="s">
        <v>129</v>
      </c>
      <c r="P31" s="3" t="s">
        <v>8</v>
      </c>
      <c r="Q31" s="3" t="s">
        <v>8</v>
      </c>
    </row>
    <row r="33" spans="1:14" ht="16.5" customHeight="1"/>
    <row r="34" spans="1:14">
      <c r="K34" s="8"/>
      <c r="L34" s="8"/>
      <c r="M34" s="8"/>
      <c r="N34" s="8"/>
    </row>
    <row r="35" spans="1:14">
      <c r="B35" s="9"/>
      <c r="E35" s="9"/>
      <c r="H35" s="9"/>
      <c r="K35" s="10"/>
    </row>
    <row r="36" spans="1:14">
      <c r="K36" s="11"/>
      <c r="L36" s="11"/>
      <c r="M36" s="11"/>
      <c r="N36" s="11"/>
    </row>
    <row r="37" spans="1:14">
      <c r="K37" s="12"/>
      <c r="L37" s="12"/>
      <c r="M37" s="12"/>
      <c r="N37" s="12"/>
    </row>
    <row r="38" spans="1:14" ht="22.5" customHeight="1">
      <c r="K38" s="13" t="s">
        <v>130</v>
      </c>
      <c r="L38" s="13" t="s">
        <v>131</v>
      </c>
      <c r="M38" s="13" t="s">
        <v>132</v>
      </c>
      <c r="N38" s="13" t="s">
        <v>133</v>
      </c>
    </row>
    <row r="39" spans="1:14" ht="22.5" customHeight="1">
      <c r="K39" s="14" t="s">
        <v>134</v>
      </c>
      <c r="L39" s="15">
        <f>COUNTIF(M2:M11,"Positive_Praise") / 10</f>
        <v>0.8</v>
      </c>
      <c r="M39" s="15">
        <f>COUNTIF(M12:M21,"Negative_Complaint") / 10</f>
        <v>0.6</v>
      </c>
      <c r="N39" s="15">
        <f>COUNTIF(M22:M31,"Urgent_Support") / 10</f>
        <v>1</v>
      </c>
    </row>
    <row r="40" spans="1:14" ht="22.5" customHeight="1">
      <c r="A40" s="18" t="s">
        <v>135</v>
      </c>
      <c r="B40" s="19"/>
      <c r="C40" s="19"/>
      <c r="D40" s="19"/>
      <c r="E40" s="19"/>
      <c r="F40" s="19"/>
      <c r="G40" s="19"/>
      <c r="H40" s="19"/>
      <c r="K40" s="14" t="s">
        <v>136</v>
      </c>
      <c r="L40" s="15">
        <f>COUNTIFS(L3:L12,"Positive_Praise",M3:M12,"Positive_Praise")/COUNTIF(L3:L12,"Positive_Praise")</f>
        <v>0.88888888888888884</v>
      </c>
      <c r="M40" s="15">
        <f>COUNTIFS(L13:L21,"Negative_Complaint",M13:M21,"Negative_Complaint")/COUNTIF(L13:L21,"Negative_Complaint")</f>
        <v>0.55555555555555558</v>
      </c>
      <c r="N40" s="15">
        <f>COUNTIFS(L22:L31,"Urgent_Support",M22:M31,"Urgent_Support")/COUNTIF(L22:L31,"Urgent_Support")</f>
        <v>1</v>
      </c>
    </row>
    <row r="41" spans="1:14" ht="22.5" customHeight="1">
      <c r="A41" s="19"/>
      <c r="B41" s="19"/>
      <c r="C41" s="19"/>
      <c r="D41" s="19"/>
      <c r="E41" s="19"/>
      <c r="F41" s="19"/>
      <c r="G41" s="19"/>
      <c r="H41" s="19"/>
      <c r="K41" s="14" t="s">
        <v>137</v>
      </c>
      <c r="L41" s="15">
        <f>IFERROR(COUNTIFS($L$2:$L$31,"Positive_Praise",$M$2:$M$31,"Positive_Praise")/COUNTIF($L$2:$L$31,"Positive_Praise"),0)</f>
        <v>0.8</v>
      </c>
      <c r="M41" s="15">
        <f>IFERROR(COUNTIFS($L$2:$L$31,"Negative_Complaint",$M$2:$M$31,"Negative_Complaint")/COUNTIF($L$2:$L$31,"Negative_Complaint"),0)</f>
        <v>0.6</v>
      </c>
      <c r="N41" s="15">
        <f>IFERROR(COUNTIFS($L$2:$L$31,"Urgent_Support",$M$2:$M$31,"Urgent_Support")/COUNTIF($L$2:$L$31,"Urgent_Support"),0)</f>
        <v>1</v>
      </c>
    </row>
    <row r="42" spans="1:14" ht="22.5" customHeight="1">
      <c r="K42" s="14" t="s">
        <v>138</v>
      </c>
      <c r="L42" s="15">
        <f t="shared" ref="L42:N42" si="0">IFERROR(2*(L40*L41)/(L40+L41),0)</f>
        <v>0.8421052631578948</v>
      </c>
      <c r="M42" s="15">
        <f t="shared" si="0"/>
        <v>0.57692307692307698</v>
      </c>
      <c r="N42" s="15">
        <f t="shared" si="0"/>
        <v>1</v>
      </c>
    </row>
    <row r="43" spans="1:14" ht="22.5" customHeight="1"/>
    <row r="44" spans="1:14">
      <c r="A44" s="4" t="s">
        <v>6</v>
      </c>
      <c r="B44" s="4"/>
      <c r="C44" s="4"/>
      <c r="D44" s="4" t="s">
        <v>7</v>
      </c>
      <c r="E44" s="4"/>
      <c r="F44" s="4"/>
      <c r="G44" s="4" t="s">
        <v>8</v>
      </c>
    </row>
    <row r="45" spans="1:14">
      <c r="A45" s="4" t="s">
        <v>10</v>
      </c>
      <c r="B45" s="4"/>
      <c r="C45" s="4"/>
      <c r="D45" s="4" t="s">
        <v>10</v>
      </c>
      <c r="E45" s="4"/>
      <c r="F45" s="4"/>
      <c r="G45" s="4" t="s">
        <v>10</v>
      </c>
    </row>
    <row r="46" spans="1:14">
      <c r="K46" s="10"/>
    </row>
    <row r="47" spans="1:14">
      <c r="A47" s="5" t="s">
        <v>13</v>
      </c>
      <c r="D47" s="5" t="s">
        <v>14</v>
      </c>
      <c r="G47" s="5" t="s">
        <v>15</v>
      </c>
      <c r="K47" s="11"/>
      <c r="L47" s="11"/>
      <c r="M47" s="11"/>
      <c r="N47" s="11"/>
    </row>
    <row r="48" spans="1:14">
      <c r="A48" s="5"/>
      <c r="D48" s="5"/>
      <c r="G48" s="5"/>
      <c r="K48" s="12"/>
      <c r="L48" s="12"/>
      <c r="M48" s="12"/>
      <c r="N48" s="12"/>
    </row>
    <row r="49" spans="1:14" ht="22.5" customHeight="1">
      <c r="A49" s="5" t="s">
        <v>17</v>
      </c>
      <c r="D49" s="5" t="s">
        <v>18</v>
      </c>
      <c r="G49" s="5" t="s">
        <v>19</v>
      </c>
      <c r="K49" s="13" t="s">
        <v>130</v>
      </c>
      <c r="L49" s="13" t="s">
        <v>131</v>
      </c>
      <c r="M49" s="13" t="s">
        <v>132</v>
      </c>
      <c r="N49" s="13" t="s">
        <v>133</v>
      </c>
    </row>
    <row r="50" spans="1:14" ht="22.5" customHeight="1">
      <c r="A50" s="5" t="s">
        <v>21</v>
      </c>
      <c r="D50" s="5" t="s">
        <v>22</v>
      </c>
      <c r="G50" s="5" t="s">
        <v>23</v>
      </c>
      <c r="K50" s="14" t="s">
        <v>134</v>
      </c>
      <c r="L50" s="15">
        <f>COUNTIF(Q2:Q11,"Positive_Praise") / 10</f>
        <v>1</v>
      </c>
      <c r="M50" s="15">
        <f>COUNTIF(Q12:Q21,"Negative_Complaint") / 10</f>
        <v>0.6</v>
      </c>
      <c r="N50" s="15">
        <f>COUNTIF(Q22:Q31,"Urgent_Support") / 10</f>
        <v>0.9</v>
      </c>
    </row>
    <row r="51" spans="1:14" ht="22.5" customHeight="1">
      <c r="A51" s="5" t="s">
        <v>25</v>
      </c>
      <c r="D51" s="5" t="s">
        <v>26</v>
      </c>
      <c r="G51" s="5" t="s">
        <v>27</v>
      </c>
      <c r="K51" s="14" t="s">
        <v>136</v>
      </c>
      <c r="L51" s="15">
        <f>COUNTIFS(P2:P11,"Positive_Praise",Q2:Q11,"Positive_Praise")/COUNTIF(P2:P11,"Positive_Praise")</f>
        <v>1</v>
      </c>
      <c r="M51" s="15">
        <f>COUNTIFS(P12:P21,"Negative_Complaint",Q12:Q21,"Negative_Complaint")/COUNTIF(P12:P21,"Negative_Complaint")</f>
        <v>0.6</v>
      </c>
      <c r="N51" s="15">
        <f>COUNTIFS(P22:P31,"Urgent_Support",Q22:Q31,"Urgent_Support")/COUNTIF(P22:P31,"Urgent_Support")</f>
        <v>0.9</v>
      </c>
    </row>
    <row r="52" spans="1:14" ht="22.5" customHeight="1">
      <c r="A52" s="5" t="s">
        <v>29</v>
      </c>
      <c r="D52" s="5" t="s">
        <v>30</v>
      </c>
      <c r="G52" s="5" t="s">
        <v>31</v>
      </c>
      <c r="K52" s="14" t="s">
        <v>137</v>
      </c>
      <c r="L52" s="15">
        <f>IFERROR(COUNTIFS($L$2:$L$31,"Positive_Praise",$M$2:$M$31,"Positive_Praise")/COUNTIF($L$2:$L$31,"Positive_Praise"),0)</f>
        <v>0.8</v>
      </c>
      <c r="M52" s="15">
        <f>IFERROR(COUNTIFS($L$2:$L$31,"Negative_Complaint",$M$2:$M$31,"Negative_Complaint")/COUNTIF($L$2:$L$31,"Negative_Complaint"),0)</f>
        <v>0.6</v>
      </c>
      <c r="N52" s="15">
        <f>IFERROR(COUNTIFS($L$2:$L$31,"Urgent_Support",$M$2:$M$31,"Urgent_Support")/COUNTIF($L$2:$L$31,"Urgent_Support"),0)</f>
        <v>1</v>
      </c>
    </row>
    <row r="53" spans="1:14" ht="22.5" customHeight="1">
      <c r="A53" s="5" t="s">
        <v>33</v>
      </c>
      <c r="D53" s="5" t="s">
        <v>34</v>
      </c>
      <c r="G53" s="5" t="s">
        <v>35</v>
      </c>
      <c r="K53" s="14" t="s">
        <v>138</v>
      </c>
      <c r="L53" s="15">
        <f t="shared" ref="L53:N53" si="1">IFERROR(2*(L51*L52)/(L51+L52),0)</f>
        <v>0.88888888888888895</v>
      </c>
      <c r="M53" s="15">
        <f t="shared" si="1"/>
        <v>0.6</v>
      </c>
      <c r="N53" s="15">
        <f t="shared" si="1"/>
        <v>0.94736842105263164</v>
      </c>
    </row>
    <row r="54" spans="1:14" ht="22.5" customHeight="1">
      <c r="A54" s="5" t="s">
        <v>37</v>
      </c>
      <c r="D54" s="5" t="s">
        <v>38</v>
      </c>
      <c r="G54" s="5" t="s">
        <v>39</v>
      </c>
      <c r="L54" s="16"/>
      <c r="M54" s="16"/>
      <c r="N54" s="16"/>
    </row>
    <row r="55" spans="1:14">
      <c r="A55" s="5" t="s">
        <v>41</v>
      </c>
      <c r="D55" s="5" t="s">
        <v>42</v>
      </c>
      <c r="G55" s="5" t="s">
        <v>43</v>
      </c>
    </row>
    <row r="56" spans="1:14">
      <c r="A56" s="5" t="s">
        <v>45</v>
      </c>
      <c r="D56" s="5" t="s">
        <v>46</v>
      </c>
      <c r="G56" s="5" t="s">
        <v>47</v>
      </c>
    </row>
    <row r="57" spans="1:14">
      <c r="A57" s="5" t="s">
        <v>49</v>
      </c>
      <c r="D57" s="5" t="s">
        <v>50</v>
      </c>
      <c r="G57" s="5" t="s">
        <v>51</v>
      </c>
    </row>
    <row r="58" spans="1:14">
      <c r="A58" s="5" t="s">
        <v>139</v>
      </c>
      <c r="D58" s="5" t="s">
        <v>140</v>
      </c>
      <c r="G58" s="5" t="s">
        <v>141</v>
      </c>
    </row>
    <row r="59" spans="1:14">
      <c r="A59" s="5" t="s">
        <v>142</v>
      </c>
      <c r="D59" s="5" t="s">
        <v>143</v>
      </c>
      <c r="G59" s="5" t="s">
        <v>144</v>
      </c>
    </row>
    <row r="60" spans="1:14">
      <c r="A60" s="5" t="s">
        <v>145</v>
      </c>
      <c r="D60" s="5" t="s">
        <v>146</v>
      </c>
      <c r="G60" s="5" t="s">
        <v>147</v>
      </c>
    </row>
    <row r="61" spans="1:14">
      <c r="A61" s="5" t="s">
        <v>148</v>
      </c>
      <c r="D61" s="5" t="s">
        <v>149</v>
      </c>
      <c r="G61" s="5" t="s">
        <v>150</v>
      </c>
    </row>
    <row r="62" spans="1:14">
      <c r="A62" s="5" t="s">
        <v>151</v>
      </c>
      <c r="D62" s="5" t="s">
        <v>152</v>
      </c>
      <c r="G62" s="5" t="s">
        <v>153</v>
      </c>
    </row>
    <row r="63" spans="1:14">
      <c r="A63" s="5" t="s">
        <v>154</v>
      </c>
      <c r="D63" s="5" t="s">
        <v>155</v>
      </c>
      <c r="G63" s="5" t="s">
        <v>156</v>
      </c>
    </row>
    <row r="64" spans="1:14">
      <c r="A64" s="5" t="s">
        <v>157</v>
      </c>
      <c r="D64" s="5" t="s">
        <v>158</v>
      </c>
      <c r="G64" s="5" t="s">
        <v>159</v>
      </c>
    </row>
    <row r="65" spans="1:8">
      <c r="A65" s="5" t="s">
        <v>160</v>
      </c>
      <c r="D65" s="5" t="s">
        <v>161</v>
      </c>
      <c r="G65" s="5" t="s">
        <v>162</v>
      </c>
    </row>
    <row r="66" spans="1:8">
      <c r="A66" s="5" t="s">
        <v>163</v>
      </c>
      <c r="D66" s="5" t="s">
        <v>164</v>
      </c>
      <c r="G66" s="5" t="s">
        <v>165</v>
      </c>
    </row>
    <row r="67" spans="1:8">
      <c r="A67" s="5" t="s">
        <v>166</v>
      </c>
      <c r="D67" s="5" t="s">
        <v>167</v>
      </c>
      <c r="G67" s="5" t="s">
        <v>168</v>
      </c>
    </row>
    <row r="72" spans="1:8">
      <c r="A72" s="4" t="s">
        <v>57</v>
      </c>
      <c r="B72" s="4"/>
      <c r="C72" s="4"/>
      <c r="D72" s="4" t="s">
        <v>58</v>
      </c>
      <c r="E72" s="4"/>
      <c r="F72" s="4"/>
      <c r="G72" s="4" t="s">
        <v>59</v>
      </c>
    </row>
    <row r="74" spans="1:8">
      <c r="A74" s="5" t="s">
        <v>62</v>
      </c>
      <c r="B74" s="17" t="s">
        <v>169</v>
      </c>
      <c r="D74" s="5" t="s">
        <v>64</v>
      </c>
      <c r="E74" s="17" t="s">
        <v>170</v>
      </c>
      <c r="G74" s="5" t="s">
        <v>66</v>
      </c>
      <c r="H74" s="17" t="s">
        <v>171</v>
      </c>
    </row>
    <row r="75" spans="1:8">
      <c r="A75" s="5" t="s">
        <v>69</v>
      </c>
      <c r="B75" s="17" t="s">
        <v>172</v>
      </c>
      <c r="D75" s="5" t="s">
        <v>71</v>
      </c>
      <c r="E75" s="17" t="s">
        <v>173</v>
      </c>
      <c r="G75" s="5" t="s">
        <v>73</v>
      </c>
      <c r="H75" s="17" t="s">
        <v>74</v>
      </c>
    </row>
    <row r="76" spans="1:8">
      <c r="A76" s="5" t="s">
        <v>76</v>
      </c>
      <c r="B76" s="17" t="s">
        <v>174</v>
      </c>
      <c r="D76" s="5" t="s">
        <v>78</v>
      </c>
      <c r="E76" s="17" t="s">
        <v>175</v>
      </c>
      <c r="G76" s="5" t="s">
        <v>80</v>
      </c>
      <c r="H76" s="17" t="s">
        <v>176</v>
      </c>
    </row>
    <row r="77" spans="1:8">
      <c r="A77" s="5" t="s">
        <v>82</v>
      </c>
      <c r="B77" s="17" t="s">
        <v>177</v>
      </c>
      <c r="D77" s="5" t="s">
        <v>84</v>
      </c>
      <c r="E77" s="17" t="s">
        <v>178</v>
      </c>
      <c r="G77" s="5" t="s">
        <v>86</v>
      </c>
      <c r="H77" s="17" t="s">
        <v>179</v>
      </c>
    </row>
    <row r="78" spans="1:8">
      <c r="A78" s="5" t="s">
        <v>89</v>
      </c>
      <c r="B78" s="17" t="s">
        <v>180</v>
      </c>
      <c r="D78" s="5" t="s">
        <v>91</v>
      </c>
      <c r="E78" s="17" t="s">
        <v>85</v>
      </c>
      <c r="G78" s="5" t="s">
        <v>92</v>
      </c>
      <c r="H78" s="17" t="s">
        <v>181</v>
      </c>
    </row>
    <row r="79" spans="1:8">
      <c r="A79" s="5" t="s">
        <v>95</v>
      </c>
      <c r="B79" s="17" t="s">
        <v>182</v>
      </c>
      <c r="D79" s="5" t="s">
        <v>97</v>
      </c>
      <c r="E79" s="17" t="s">
        <v>183</v>
      </c>
      <c r="G79" s="5" t="s">
        <v>99</v>
      </c>
      <c r="H79" s="17" t="s">
        <v>184</v>
      </c>
    </row>
    <row r="80" spans="1:8">
      <c r="A80" s="5" t="s">
        <v>102</v>
      </c>
      <c r="B80" s="17" t="s">
        <v>185</v>
      </c>
      <c r="D80" s="5" t="s">
        <v>104</v>
      </c>
      <c r="E80" s="17" t="s">
        <v>186</v>
      </c>
      <c r="G80" s="5" t="s">
        <v>106</v>
      </c>
      <c r="H80" s="17" t="s">
        <v>187</v>
      </c>
    </row>
    <row r="81" spans="1:8">
      <c r="A81" s="5" t="s">
        <v>109</v>
      </c>
      <c r="B81" s="17" t="s">
        <v>77</v>
      </c>
      <c r="D81" s="5" t="s">
        <v>111</v>
      </c>
      <c r="E81" s="17" t="s">
        <v>188</v>
      </c>
      <c r="G81" s="5" t="s">
        <v>113</v>
      </c>
      <c r="H81" s="17" t="s">
        <v>189</v>
      </c>
    </row>
    <row r="82" spans="1:8">
      <c r="A82" s="5" t="s">
        <v>116</v>
      </c>
      <c r="B82" s="17" t="s">
        <v>96</v>
      </c>
      <c r="D82" s="5" t="s">
        <v>118</v>
      </c>
      <c r="E82" s="17" t="s">
        <v>190</v>
      </c>
      <c r="G82" s="5" t="s">
        <v>120</v>
      </c>
      <c r="H82" s="17" t="s">
        <v>191</v>
      </c>
    </row>
    <row r="83" spans="1:8">
      <c r="A83" s="5" t="s">
        <v>123</v>
      </c>
      <c r="B83" s="17" t="s">
        <v>117</v>
      </c>
      <c r="D83" s="5" t="s">
        <v>125</v>
      </c>
      <c r="E83" s="17" t="s">
        <v>192</v>
      </c>
      <c r="G83" s="5" t="s">
        <v>127</v>
      </c>
      <c r="H83" s="17" t="s">
        <v>121</v>
      </c>
    </row>
  </sheetData>
  <mergeCells count="2">
    <mergeCell ref="A1:H2"/>
    <mergeCell ref="A40:H41"/>
  </mergeCells>
  <dataValidations count="1">
    <dataValidation type="custom" allowBlank="1" showDropDown="1" sqref="L39:N42 L50:N53" xr:uid="{00000000-0002-0000-0000-000000000000}">
      <formula1>AND(ISNUMBER(L39),(NOT(OR(NOT(ISERROR(DATEVALUE(L39))), AND(ISNUMBER(L39), LEFT(CELL("format", L39))="D")))))</formula1>
    </dataValidation>
  </dataValidations>
  <pageMargins left="0" right="0" top="0" bottom="0" header="0" footer="0"/>
  <tableParts count="4">
    <tablePart r:id="rId1"/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2f9b0f-b7b8-43a5-8bb8-20ef86c3d43f">
      <Terms xmlns="http://schemas.microsoft.com/office/infopath/2007/PartnerControls"/>
    </lcf76f155ced4ddcb4097134ff3c332f>
    <ReferenceId xmlns="382f9b0f-b7b8-43a5-8bb8-20ef86c3d43f" xsi:nil="true"/>
    <TaxCatchAll xmlns="0fbbcd4a-5538-4b58-b22e-22825fffb8f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35D2295E65E447B93180B50A1284D7" ma:contentTypeVersion="11" ma:contentTypeDescription="Create a new document." ma:contentTypeScope="" ma:versionID="772f84986953254005cf5b9a2afa0ad6">
  <xsd:schema xmlns:xsd="http://www.w3.org/2001/XMLSchema" xmlns:xs="http://www.w3.org/2001/XMLSchema" xmlns:p="http://schemas.microsoft.com/office/2006/metadata/properties" xmlns:ns2="382f9b0f-b7b8-43a5-8bb8-20ef86c3d43f" xmlns:ns3="0fbbcd4a-5538-4b58-b22e-22825fffb8f4" targetNamespace="http://schemas.microsoft.com/office/2006/metadata/properties" ma:root="true" ma:fieldsID="35bc81893350296297d2ae9f91ff2c34" ns2:_="" ns3:_="">
    <xsd:import namespace="382f9b0f-b7b8-43a5-8bb8-20ef86c3d43f"/>
    <xsd:import namespace="0fbbcd4a-5538-4b58-b22e-22825fffb8f4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2f9b0f-b7b8-43a5-8bb8-20ef86c3d43f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90c3850-1993-4f1b-9b4f-d31e9e6f4f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bbcd4a-5538-4b58-b22e-22825fffb8f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1f9f41ad-3454-4094-8d02-3b7c4c2acf46}" ma:internalName="TaxCatchAll" ma:showField="CatchAllData" ma:web="0fbbcd4a-5538-4b58-b22e-22825fffb8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CC2503-2C81-442B-92EB-6B6D69381575}"/>
</file>

<file path=customXml/itemProps2.xml><?xml version="1.0" encoding="utf-8"?>
<ds:datastoreItem xmlns:ds="http://schemas.openxmlformats.org/officeDocument/2006/customXml" ds:itemID="{66CAD5AE-868E-4BAF-9934-E5167359186B}"/>
</file>

<file path=customXml/itemProps3.xml><?xml version="1.0" encoding="utf-8"?>
<ds:datastoreItem xmlns:ds="http://schemas.openxmlformats.org/officeDocument/2006/customXml" ds:itemID="{F408331E-1028-4C44-B10D-E53947A097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Justine Bradley Tulio</cp:lastModifiedBy>
  <cp:revision/>
  <dcterms:created xsi:type="dcterms:W3CDTF">2026-07-29T12:56:43Z</dcterms:created>
  <dcterms:modified xsi:type="dcterms:W3CDTF">2026-07-29T12:56:43Z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0x010100B935D2295E65E447B93180B50A1284D7</vt:lpwstr>
  </property>
  <property fmtid="{D5CDD505-2E9C-101B-9397-08002B2CF9AE}" pid="3" name="MediaServiceImageTags">
    <vt:lpwstr/>
  </property>
</Properties>
</file>